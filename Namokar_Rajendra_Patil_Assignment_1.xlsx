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1 - Excel" sheetId="1" state="visible" r:id="rId1"/>
    <sheet xmlns:r="http://schemas.openxmlformats.org/officeDocument/2006/relationships" name="Pivot 1 - Department" sheetId="2" state="visible" r:id="rId2"/>
    <sheet xmlns:r="http://schemas.openxmlformats.org/officeDocument/2006/relationships" name="Pivot 2 - Dept Employee" sheetId="3" state="visible" r:id="rId3"/>
    <sheet xmlns:r="http://schemas.openxmlformats.org/officeDocument/2006/relationships" name="Pivot 3 - Produ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DD-MMM-YYYY"/>
    <numFmt numFmtId="166" formatCode="₹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pivotButton="0" quotePrefix="0" xfId="0"/>
    <xf numFmtId="0" fontId="2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Names vs Total Amount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'Task 1 - Excel'!B29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'Task 1 - Excel'!$A$30:$A$44</f>
            </numRef>
          </cat>
          <val>
            <numRef>
              <f>'Task 1 - Excel'!$B$30:$B$44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Share by Department</a:t>
            </a:r>
          </a:p>
        </rich>
      </tx>
    </title>
    <plotArea>
      <pieChart>
        <varyColors val="1"/>
        <ser>
          <idx val="0"/>
          <order val="0"/>
          <tx>
            <strRef>
              <f>'Task 1 - Excel'!B45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'Task 1 - Excel'!$A$46:$A$48</f>
            </numRef>
          </cat>
          <val>
            <numRef>
              <f>'Task 1 - Excel'!$B$46:$B$48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 Date vs Total Amount</a:t>
            </a:r>
          </a:p>
        </rich>
      </tx>
    </title>
    <plotArea>
      <lineChart>
        <grouping val="standard"/>
        <ser>
          <idx val="0"/>
          <order val="0"/>
          <tx>
            <strRef>
              <f>'Task 1 - Excel'!B52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'Task 1 - Excel'!$A$53:$A$67</f>
            </numRef>
          </cat>
          <val>
            <numRef>
              <f>'Task 1 - Excel'!$B$53:$B$67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27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44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61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I16" headerRowCount="1">
  <autoFilter ref="A1:I16"/>
  <tableColumns count="9">
    <tableColumn id="1" name="emp_id"/>
    <tableColumn id="2" name="name"/>
    <tableColumn id="3" name="department"/>
    <tableColumn id="4" name="product"/>
    <tableColumn id="5" name="quantity"/>
    <tableColumn id="6" name="unit_price"/>
    <tableColumn id="7" name="sale_date"/>
    <tableColumn id="8" name="total_amount"/>
    <tableColumn id="9" name="bon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0" customWidth="1" min="5" max="5"/>
    <col width="14" customWidth="1" min="6" max="6"/>
    <col width="16" customWidth="1" min="7" max="7"/>
    <col width="16" customWidth="1" min="8" max="8"/>
    <col width="12" customWidth="1" min="9" max="9"/>
  </cols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product</t>
        </is>
      </c>
      <c r="E1" s="2" t="inlineStr">
        <is>
          <t>quantity</t>
        </is>
      </c>
      <c r="F1" s="2" t="inlineStr">
        <is>
          <t>unit_price</t>
        </is>
      </c>
      <c r="G1" s="1" t="inlineStr">
        <is>
          <t>sale_date</t>
        </is>
      </c>
      <c r="H1" s="2" t="inlineStr">
        <is>
          <t>total_amount</t>
        </is>
      </c>
      <c r="I1" s="1" t="inlineStr">
        <is>
          <t>bonus</t>
        </is>
      </c>
    </row>
    <row r="2">
      <c r="A2" s="3" t="inlineStr">
        <is>
          <t>E01</t>
        </is>
      </c>
      <c r="B2" s="3" t="inlineStr">
        <is>
          <t>Aarav</t>
        </is>
      </c>
      <c r="C2" s="3" t="inlineStr">
        <is>
          <t>Electronics</t>
        </is>
      </c>
      <c r="D2" s="3" t="inlineStr">
        <is>
          <t>Laptop</t>
        </is>
      </c>
      <c r="E2" s="4" t="n">
        <v>2</v>
      </c>
      <c r="F2" s="5" t="n">
        <v>55000</v>
      </c>
      <c r="G2" s="6" t="inlineStr">
        <is>
          <t>2025-02-03</t>
        </is>
      </c>
      <c r="H2" s="5" t="n">
        <v>110000</v>
      </c>
      <c r="I2" s="3" t="inlineStr">
        <is>
          <t>High</t>
        </is>
      </c>
    </row>
    <row r="3">
      <c r="A3" s="3" t="inlineStr">
        <is>
          <t>E02</t>
        </is>
      </c>
      <c r="B3" s="3" t="inlineStr">
        <is>
          <t>Bhavya</t>
        </is>
      </c>
      <c r="C3" s="3" t="inlineStr">
        <is>
          <t>Fashion</t>
        </is>
      </c>
      <c r="D3" s="3" t="inlineStr">
        <is>
          <t>Saree</t>
        </is>
      </c>
      <c r="E3" s="4" t="n">
        <v>5</v>
      </c>
      <c r="F3" s="5" t="n">
        <v>4500</v>
      </c>
      <c r="G3" s="6" t="inlineStr">
        <is>
          <t>2025-02-05</t>
        </is>
      </c>
      <c r="H3" s="5" t="n">
        <v>22500</v>
      </c>
      <c r="I3" s="3" t="inlineStr">
        <is>
          <t>Normal</t>
        </is>
      </c>
    </row>
    <row r="4">
      <c r="A4" s="3" t="inlineStr">
        <is>
          <t>E03</t>
        </is>
      </c>
      <c r="B4" s="3" t="inlineStr">
        <is>
          <t>Chirag</t>
        </is>
      </c>
      <c r="C4" s="3" t="inlineStr">
        <is>
          <t>Electronics</t>
        </is>
      </c>
      <c r="D4" s="3" t="inlineStr">
        <is>
          <t>Headphones</t>
        </is>
      </c>
      <c r="E4" s="4" t="n">
        <v>10</v>
      </c>
      <c r="F4" s="5" t="n">
        <v>1500</v>
      </c>
      <c r="G4" s="6" t="inlineStr">
        <is>
          <t>2025-02-06</t>
        </is>
      </c>
      <c r="H4" s="5" t="n">
        <v>15000</v>
      </c>
      <c r="I4" s="3" t="inlineStr">
        <is>
          <t>Normal</t>
        </is>
      </c>
    </row>
    <row r="5">
      <c r="A5" s="3" t="inlineStr">
        <is>
          <t>E04</t>
        </is>
      </c>
      <c r="B5" s="3" t="inlineStr">
        <is>
          <t>Diya</t>
        </is>
      </c>
      <c r="C5" s="3" t="inlineStr">
        <is>
          <t>Fashion</t>
        </is>
      </c>
      <c r="D5" s="3" t="inlineStr">
        <is>
          <t>Shoes</t>
        </is>
      </c>
      <c r="E5" s="4" t="n">
        <v>3</v>
      </c>
      <c r="F5" s="5" t="n">
        <v>2200</v>
      </c>
      <c r="G5" s="6" t="inlineStr">
        <is>
          <t>2025-02-07</t>
        </is>
      </c>
      <c r="H5" s="5" t="n">
        <v>6600</v>
      </c>
      <c r="I5" s="3" t="inlineStr">
        <is>
          <t>Normal</t>
        </is>
      </c>
    </row>
    <row r="6">
      <c r="A6" s="3" t="inlineStr">
        <is>
          <t>E05</t>
        </is>
      </c>
      <c r="B6" s="3" t="inlineStr">
        <is>
          <t>Eshan</t>
        </is>
      </c>
      <c r="C6" s="3" t="inlineStr">
        <is>
          <t>Electronics</t>
        </is>
      </c>
      <c r="D6" s="3" t="inlineStr">
        <is>
          <t>Smartphone</t>
        </is>
      </c>
      <c r="E6" s="4" t="n">
        <v>4</v>
      </c>
      <c r="F6" s="5" t="n">
        <v>32000</v>
      </c>
      <c r="G6" s="6" t="inlineStr">
        <is>
          <t>2025-02-09</t>
        </is>
      </c>
      <c r="H6" s="5" t="n">
        <v>128000</v>
      </c>
      <c r="I6" s="3" t="inlineStr">
        <is>
          <t>High</t>
        </is>
      </c>
    </row>
    <row r="7">
      <c r="A7" s="3" t="inlineStr">
        <is>
          <t>E01</t>
        </is>
      </c>
      <c r="B7" s="3" t="inlineStr">
        <is>
          <t>Aarav</t>
        </is>
      </c>
      <c r="C7" s="3" t="inlineStr">
        <is>
          <t>Electronics</t>
        </is>
      </c>
      <c r="D7" s="3" t="inlineStr">
        <is>
          <t>Tablet</t>
        </is>
      </c>
      <c r="E7" s="4" t="n">
        <v>1</v>
      </c>
      <c r="F7" s="5" t="n">
        <v>18000</v>
      </c>
      <c r="G7" s="6" t="inlineStr">
        <is>
          <t>2025-02-11</t>
        </is>
      </c>
      <c r="H7" s="5" t="n">
        <v>18000</v>
      </c>
      <c r="I7" s="3" t="inlineStr">
        <is>
          <t>Normal</t>
        </is>
      </c>
    </row>
    <row r="8">
      <c r="A8" s="3" t="inlineStr">
        <is>
          <t>E06</t>
        </is>
      </c>
      <c r="B8" s="3" t="inlineStr">
        <is>
          <t>Farah</t>
        </is>
      </c>
      <c r="C8" s="3" t="inlineStr">
        <is>
          <t>Grocery</t>
        </is>
      </c>
      <c r="D8" s="3" t="inlineStr">
        <is>
          <t>Rice (kg)</t>
        </is>
      </c>
      <c r="E8" s="4" t="n">
        <v>20</v>
      </c>
      <c r="F8" s="5" t="n">
        <v>80</v>
      </c>
      <c r="G8" s="6" t="inlineStr">
        <is>
          <t>2025-02-12</t>
        </is>
      </c>
      <c r="H8" s="5" t="n">
        <v>1600</v>
      </c>
      <c r="I8" s="3" t="inlineStr">
        <is>
          <t>Normal</t>
        </is>
      </c>
    </row>
    <row r="9">
      <c r="A9" s="3" t="inlineStr">
        <is>
          <t>E07</t>
        </is>
      </c>
      <c r="B9" s="3" t="inlineStr">
        <is>
          <t>Gaurav</t>
        </is>
      </c>
      <c r="C9" s="3" t="inlineStr">
        <is>
          <t>Fashion</t>
        </is>
      </c>
      <c r="D9" s="3" t="inlineStr">
        <is>
          <t>Watch</t>
        </is>
      </c>
      <c r="E9" s="4" t="n">
        <v>2</v>
      </c>
      <c r="F9" s="5" t="n">
        <v>3500</v>
      </c>
      <c r="G9" s="6" t="inlineStr">
        <is>
          <t>2025-02-14</t>
        </is>
      </c>
      <c r="H9" s="5" t="n">
        <v>7000</v>
      </c>
      <c r="I9" s="3" t="inlineStr">
        <is>
          <t>Normal</t>
        </is>
      </c>
    </row>
    <row r="10">
      <c r="A10" s="3" t="inlineStr">
        <is>
          <t>E08</t>
        </is>
      </c>
      <c r="B10" s="3" t="inlineStr">
        <is>
          <t>Hina</t>
        </is>
      </c>
      <c r="C10" s="3" t="inlineStr">
        <is>
          <t>Grocery</t>
        </is>
      </c>
      <c r="D10" s="3" t="inlineStr">
        <is>
          <t>Oil (litre)</t>
        </is>
      </c>
      <c r="E10" s="4" t="n">
        <v>15</v>
      </c>
      <c r="F10" s="5" t="n">
        <v>180</v>
      </c>
      <c r="G10" s="6" t="inlineStr">
        <is>
          <t>2025-02-15</t>
        </is>
      </c>
      <c r="H10" s="5" t="n">
        <v>2700</v>
      </c>
      <c r="I10" s="3" t="inlineStr">
        <is>
          <t>Normal</t>
        </is>
      </c>
    </row>
    <row r="11">
      <c r="A11" s="3" t="inlineStr">
        <is>
          <t>E03</t>
        </is>
      </c>
      <c r="B11" s="3" t="inlineStr">
        <is>
          <t>Chirag</t>
        </is>
      </c>
      <c r="C11" s="3" t="inlineStr">
        <is>
          <t>Electronics</t>
        </is>
      </c>
      <c r="D11" s="3" t="inlineStr">
        <is>
          <t>Mouse</t>
        </is>
      </c>
      <c r="E11" s="4" t="n">
        <v>8</v>
      </c>
      <c r="F11" s="5" t="n">
        <v>899</v>
      </c>
      <c r="G11" s="6" t="inlineStr">
        <is>
          <t>2025-02-18</t>
        </is>
      </c>
      <c r="H11" s="5" t="n">
        <v>7192</v>
      </c>
      <c r="I11" s="3" t="inlineStr">
        <is>
          <t>Normal</t>
        </is>
      </c>
    </row>
    <row r="12">
      <c r="A12" s="3" t="inlineStr">
        <is>
          <t>E02</t>
        </is>
      </c>
      <c r="B12" s="3" t="inlineStr">
        <is>
          <t>Bhavya</t>
        </is>
      </c>
      <c r="C12" s="3" t="inlineStr">
        <is>
          <t>Fashion</t>
        </is>
      </c>
      <c r="D12" s="3" t="inlineStr">
        <is>
          <t>T-shirt</t>
        </is>
      </c>
      <c r="E12" s="4" t="n">
        <v>10</v>
      </c>
      <c r="F12" s="5" t="n">
        <v>499</v>
      </c>
      <c r="G12" s="6" t="inlineStr">
        <is>
          <t>2025-02-20</t>
        </is>
      </c>
      <c r="H12" s="5" t="n">
        <v>4990</v>
      </c>
      <c r="I12" s="3" t="inlineStr">
        <is>
          <t>Normal</t>
        </is>
      </c>
    </row>
    <row r="13">
      <c r="A13" s="3" t="inlineStr">
        <is>
          <t>E09</t>
        </is>
      </c>
      <c r="B13" s="3" t="inlineStr">
        <is>
          <t>Ishan</t>
        </is>
      </c>
      <c r="C13" s="3" t="inlineStr">
        <is>
          <t>Grocery</t>
        </is>
      </c>
      <c r="D13" s="3" t="inlineStr">
        <is>
          <t>Sugar (kg)</t>
        </is>
      </c>
      <c r="E13" s="4" t="n">
        <v>25</v>
      </c>
      <c r="F13" s="5" t="n">
        <v>55</v>
      </c>
      <c r="G13" s="6" t="inlineStr">
        <is>
          <t>2025-02-22</t>
        </is>
      </c>
      <c r="H13" s="5" t="n">
        <v>1375</v>
      </c>
      <c r="I13" s="3" t="inlineStr">
        <is>
          <t>Normal</t>
        </is>
      </c>
    </row>
    <row r="14">
      <c r="A14" s="3" t="inlineStr">
        <is>
          <t>E04</t>
        </is>
      </c>
      <c r="B14" s="3" t="inlineStr">
        <is>
          <t>Diya</t>
        </is>
      </c>
      <c r="C14" s="3" t="inlineStr">
        <is>
          <t>Fashion</t>
        </is>
      </c>
      <c r="D14" s="3" t="inlineStr">
        <is>
          <t>Backpack</t>
        </is>
      </c>
      <c r="E14" s="4" t="n">
        <v>4</v>
      </c>
      <c r="F14" s="5" t="n">
        <v>1800</v>
      </c>
      <c r="G14" s="6" t="inlineStr">
        <is>
          <t>2025-02-24</t>
        </is>
      </c>
      <c r="H14" s="5" t="n">
        <v>7200</v>
      </c>
      <c r="I14" s="3" t="inlineStr">
        <is>
          <t>Normal</t>
        </is>
      </c>
    </row>
    <row r="15">
      <c r="A15" s="3" t="inlineStr">
        <is>
          <t>E05</t>
        </is>
      </c>
      <c r="B15" s="3" t="inlineStr">
        <is>
          <t>Eshan</t>
        </is>
      </c>
      <c r="C15" s="3" t="inlineStr">
        <is>
          <t>Electronics</t>
        </is>
      </c>
      <c r="D15" s="3" t="inlineStr">
        <is>
          <t>Charger</t>
        </is>
      </c>
      <c r="E15" s="4" t="n">
        <v>12</v>
      </c>
      <c r="F15" s="5" t="n">
        <v>650</v>
      </c>
      <c r="G15" s="6" t="inlineStr">
        <is>
          <t>2025-02-26</t>
        </is>
      </c>
      <c r="H15" s="5" t="n">
        <v>7800</v>
      </c>
      <c r="I15" s="3" t="inlineStr">
        <is>
          <t>Normal</t>
        </is>
      </c>
    </row>
    <row r="16">
      <c r="A16" s="3" t="inlineStr">
        <is>
          <t>E10</t>
        </is>
      </c>
      <c r="B16" s="3" t="inlineStr">
        <is>
          <t>Jiya</t>
        </is>
      </c>
      <c r="C16" s="3" t="inlineStr">
        <is>
          <t>Grocery</t>
        </is>
      </c>
      <c r="D16" s="3" t="inlineStr">
        <is>
          <t>Tea (gm)</t>
        </is>
      </c>
      <c r="E16" s="4" t="n">
        <v>5</v>
      </c>
      <c r="F16" s="5" t="n">
        <v>350</v>
      </c>
      <c r="G16" s="6" t="inlineStr">
        <is>
          <t>2025-02-28</t>
        </is>
      </c>
      <c r="H16" s="5" t="n">
        <v>1750</v>
      </c>
      <c r="I16" s="3" t="inlineStr">
        <is>
          <t>Normal</t>
        </is>
      </c>
    </row>
    <row r="19">
      <c r="A19" s="7" t="inlineStr">
        <is>
          <t>Excel Function Results</t>
        </is>
      </c>
    </row>
    <row r="20">
      <c r="A20" t="inlineStr">
        <is>
          <t>Total Revenue</t>
        </is>
      </c>
      <c r="B20" s="8">
        <f>SUM(H2:H16)</f>
        <v/>
      </c>
    </row>
    <row r="21">
      <c r="A21" t="inlineStr">
        <is>
          <t>Average Sale</t>
        </is>
      </c>
      <c r="B21" s="8">
        <f>AVERAGE(H2:H16)</f>
        <v/>
      </c>
    </row>
    <row r="22">
      <c r="A22" t="inlineStr">
        <is>
          <t>Maximum Sale</t>
        </is>
      </c>
      <c r="B22" s="8">
        <f>MAX(H2:H16)</f>
        <v/>
      </c>
    </row>
    <row r="23">
      <c r="A23" t="inlineStr">
        <is>
          <t>Minimum Sale</t>
        </is>
      </c>
      <c r="B23" s="8">
        <f>MIN(H2:H16)</f>
        <v/>
      </c>
    </row>
    <row r="24">
      <c r="A24" t="inlineStr">
        <is>
          <t>Fashion Sales Count</t>
        </is>
      </c>
      <c r="B24" s="8">
        <f>COUNTIF(C2:C16,"Fashion")</f>
        <v/>
      </c>
    </row>
    <row r="25">
      <c r="A25" t="inlineStr">
        <is>
          <t>Electronics Revenue</t>
        </is>
      </c>
      <c r="B25" s="8">
        <f>SUMIF(C2:C16,"Electronics",H2:H16)</f>
        <v/>
      </c>
    </row>
    <row r="26">
      <c r="A26" s="9" t="inlineStr">
        <is>
          <t>Bonus Formula</t>
        </is>
      </c>
    </row>
    <row r="27">
      <c r="A27">
        <f>IF(H2&gt;50000,"High","Normal")</f>
        <v/>
      </c>
    </row>
    <row r="28">
      <c r="A28" s="9" t="inlineStr">
        <is>
          <t>Chart Data</t>
        </is>
      </c>
    </row>
    <row r="29">
      <c r="A29" t="inlineStr">
        <is>
          <t>Product</t>
        </is>
      </c>
      <c r="B29" t="inlineStr">
        <is>
          <t>Total Amount</t>
        </is>
      </c>
    </row>
    <row r="30">
      <c r="A30" t="inlineStr">
        <is>
          <t>Laptop</t>
        </is>
      </c>
      <c r="B30" t="n">
        <v>110000</v>
      </c>
    </row>
    <row r="31">
      <c r="A31" t="inlineStr">
        <is>
          <t>Saree</t>
        </is>
      </c>
      <c r="B31" t="n">
        <v>22500</v>
      </c>
    </row>
    <row r="32">
      <c r="A32" t="inlineStr">
        <is>
          <t>Headphones</t>
        </is>
      </c>
      <c r="B32" t="n">
        <v>15000</v>
      </c>
    </row>
    <row r="33">
      <c r="A33" t="inlineStr">
        <is>
          <t>Shoes</t>
        </is>
      </c>
      <c r="B33" t="n">
        <v>6600</v>
      </c>
    </row>
    <row r="34">
      <c r="A34" t="inlineStr">
        <is>
          <t>Smartphone</t>
        </is>
      </c>
      <c r="B34" t="n">
        <v>128000</v>
      </c>
    </row>
    <row r="35">
      <c r="A35" t="inlineStr">
        <is>
          <t>Tablet</t>
        </is>
      </c>
      <c r="B35" t="n">
        <v>18000</v>
      </c>
    </row>
    <row r="36">
      <c r="A36" t="inlineStr">
        <is>
          <t>Rice (kg)</t>
        </is>
      </c>
      <c r="B36" t="n">
        <v>1600</v>
      </c>
    </row>
    <row r="37">
      <c r="A37" t="inlineStr">
        <is>
          <t>Watch</t>
        </is>
      </c>
      <c r="B37" t="n">
        <v>7000</v>
      </c>
    </row>
    <row r="38">
      <c r="A38" t="inlineStr">
        <is>
          <t>Oil (litre)</t>
        </is>
      </c>
      <c r="B38" t="n">
        <v>2700</v>
      </c>
    </row>
    <row r="39">
      <c r="A39" t="inlineStr">
        <is>
          <t>Mouse</t>
        </is>
      </c>
      <c r="B39" t="n">
        <v>7192</v>
      </c>
    </row>
    <row r="40">
      <c r="A40" t="inlineStr">
        <is>
          <t>T-shirt</t>
        </is>
      </c>
      <c r="B40" t="n">
        <v>4990</v>
      </c>
    </row>
    <row r="41">
      <c r="A41" t="inlineStr">
        <is>
          <t>Sugar (kg)</t>
        </is>
      </c>
      <c r="B41" t="n">
        <v>1375</v>
      </c>
    </row>
    <row r="42">
      <c r="A42" t="inlineStr">
        <is>
          <t>Backpack</t>
        </is>
      </c>
      <c r="B42" t="n">
        <v>7200</v>
      </c>
    </row>
    <row r="43">
      <c r="A43" t="inlineStr">
        <is>
          <t>Charger</t>
        </is>
      </c>
      <c r="B43" t="n">
        <v>7800</v>
      </c>
    </row>
    <row r="44">
      <c r="A44" t="inlineStr">
        <is>
          <t>Tea (gm)</t>
        </is>
      </c>
      <c r="B44" t="n">
        <v>1750</v>
      </c>
    </row>
    <row r="45">
      <c r="A45" t="inlineStr">
        <is>
          <t>Department</t>
        </is>
      </c>
      <c r="B45" t="inlineStr">
        <is>
          <t>Revenue</t>
        </is>
      </c>
    </row>
    <row r="46">
      <c r="A46" t="inlineStr">
        <is>
          <t>Electronics</t>
        </is>
      </c>
      <c r="B46" t="n">
        <v>285992</v>
      </c>
    </row>
    <row r="47">
      <c r="A47" t="inlineStr">
        <is>
          <t>Fashion</t>
        </is>
      </c>
      <c r="B47" t="n">
        <v>48290</v>
      </c>
    </row>
    <row r="48">
      <c r="A48" t="inlineStr">
        <is>
          <t>Grocery</t>
        </is>
      </c>
      <c r="B48" t="n">
        <v>7425</v>
      </c>
    </row>
    <row r="52">
      <c r="A52" t="inlineStr">
        <is>
          <t>Sale Date</t>
        </is>
      </c>
      <c r="B52" t="inlineStr">
        <is>
          <t>Total Amount</t>
        </is>
      </c>
    </row>
    <row r="53">
      <c r="A53" t="inlineStr">
        <is>
          <t>2025-02-03</t>
        </is>
      </c>
      <c r="B53" t="n">
        <v>110000</v>
      </c>
    </row>
    <row r="54">
      <c r="A54" t="inlineStr">
        <is>
          <t>2025-02-05</t>
        </is>
      </c>
      <c r="B54" t="n">
        <v>22500</v>
      </c>
    </row>
    <row r="55">
      <c r="A55" t="inlineStr">
        <is>
          <t>2025-02-06</t>
        </is>
      </c>
      <c r="B55" t="n">
        <v>15000</v>
      </c>
    </row>
    <row r="56">
      <c r="A56" t="inlineStr">
        <is>
          <t>2025-02-07</t>
        </is>
      </c>
      <c r="B56" t="n">
        <v>6600</v>
      </c>
    </row>
    <row r="57">
      <c r="A57" t="inlineStr">
        <is>
          <t>2025-02-09</t>
        </is>
      </c>
      <c r="B57" t="n">
        <v>128000</v>
      </c>
    </row>
    <row r="58">
      <c r="A58" t="inlineStr">
        <is>
          <t>2025-02-11</t>
        </is>
      </c>
      <c r="B58" t="n">
        <v>18000</v>
      </c>
    </row>
    <row r="59">
      <c r="A59" t="inlineStr">
        <is>
          <t>2025-02-12</t>
        </is>
      </c>
      <c r="B59" t="n">
        <v>1600</v>
      </c>
    </row>
    <row r="60">
      <c r="A60" t="inlineStr">
        <is>
          <t>2025-02-14</t>
        </is>
      </c>
      <c r="B60" t="n">
        <v>7000</v>
      </c>
    </row>
    <row r="61">
      <c r="A61" t="inlineStr">
        <is>
          <t>2025-02-15</t>
        </is>
      </c>
      <c r="B61" t="n">
        <v>2700</v>
      </c>
    </row>
    <row r="62">
      <c r="A62" t="inlineStr">
        <is>
          <t>2025-02-18</t>
        </is>
      </c>
      <c r="B62" t="n">
        <v>7192</v>
      </c>
    </row>
    <row r="63">
      <c r="A63" t="inlineStr">
        <is>
          <t>2025-02-20</t>
        </is>
      </c>
      <c r="B63" t="n">
        <v>4990</v>
      </c>
    </row>
    <row r="64">
      <c r="A64" t="inlineStr">
        <is>
          <t>2025-02-22</t>
        </is>
      </c>
      <c r="B64" t="n">
        <v>1375</v>
      </c>
    </row>
    <row r="65">
      <c r="A65" t="inlineStr">
        <is>
          <t>2025-02-24</t>
        </is>
      </c>
      <c r="B65" t="n">
        <v>7200</v>
      </c>
    </row>
    <row r="66">
      <c r="A66" t="inlineStr">
        <is>
          <t>2025-02-26</t>
        </is>
      </c>
      <c r="B66" t="n">
        <v>7800</v>
      </c>
    </row>
    <row r="67">
      <c r="A67" t="inlineStr">
        <is>
          <t>2025-02-28</t>
        </is>
      </c>
      <c r="B67" t="n">
        <v>1750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0" t="inlineStr">
        <is>
          <t>Department</t>
        </is>
      </c>
      <c r="B1" s="10" t="inlineStr">
        <is>
          <t>Sum of Total Amount</t>
        </is>
      </c>
    </row>
    <row r="2">
      <c r="A2" t="inlineStr">
        <is>
          <t>Electronics</t>
        </is>
      </c>
      <c r="B2" t="n">
        <v>285992</v>
      </c>
    </row>
    <row r="3">
      <c r="A3" t="inlineStr">
        <is>
          <t>Fashion</t>
        </is>
      </c>
      <c r="B3" t="n">
        <v>48290</v>
      </c>
    </row>
    <row r="4">
      <c r="A4" t="inlineStr">
        <is>
          <t>Grocery</t>
        </is>
      </c>
      <c r="B4" t="n">
        <v>7425</v>
      </c>
    </row>
    <row r="5">
      <c r="A5" t="inlineStr">
        <is>
          <t>Grand Total</t>
        </is>
      </c>
      <c r="B5" t="n">
        <v>341707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0" t="inlineStr">
        <is>
          <t>Department</t>
        </is>
      </c>
      <c r="B1" s="10" t="inlineStr">
        <is>
          <t>Name</t>
        </is>
      </c>
      <c r="C1" s="10" t="inlineStr">
        <is>
          <t>Sum of Total Amount</t>
        </is>
      </c>
    </row>
    <row r="2">
      <c r="A2" t="inlineStr">
        <is>
          <t>Electronics</t>
        </is>
      </c>
      <c r="B2" t="inlineStr">
        <is>
          <t>Aarav</t>
        </is>
      </c>
      <c r="C2" t="n">
        <v>128000</v>
      </c>
    </row>
    <row r="3">
      <c r="A3" t="inlineStr">
        <is>
          <t>Electronics</t>
        </is>
      </c>
      <c r="B3" t="inlineStr">
        <is>
          <t>Chirag</t>
        </is>
      </c>
      <c r="C3" t="n">
        <v>22192</v>
      </c>
    </row>
    <row r="4">
      <c r="A4" t="inlineStr">
        <is>
          <t>Electronics</t>
        </is>
      </c>
      <c r="B4" t="inlineStr">
        <is>
          <t>Eshan</t>
        </is>
      </c>
      <c r="C4" t="n">
        <v>135800</v>
      </c>
    </row>
    <row r="5">
      <c r="A5" t="inlineStr">
        <is>
          <t>Fashion</t>
        </is>
      </c>
      <c r="B5" t="inlineStr">
        <is>
          <t>Bhavya</t>
        </is>
      </c>
      <c r="C5" t="n">
        <v>27490</v>
      </c>
    </row>
    <row r="6">
      <c r="A6" t="inlineStr">
        <is>
          <t>Fashion</t>
        </is>
      </c>
      <c r="B6" t="inlineStr">
        <is>
          <t>Diya</t>
        </is>
      </c>
      <c r="C6" t="n">
        <v>13800</v>
      </c>
    </row>
    <row r="7">
      <c r="A7" t="inlineStr">
        <is>
          <t>Fashion</t>
        </is>
      </c>
      <c r="B7" t="inlineStr">
        <is>
          <t>Gaurav</t>
        </is>
      </c>
      <c r="C7" t="n">
        <v>7000</v>
      </c>
    </row>
    <row r="8">
      <c r="A8" t="inlineStr">
        <is>
          <t>Grocery</t>
        </is>
      </c>
      <c r="B8" t="inlineStr">
        <is>
          <t>Farah</t>
        </is>
      </c>
      <c r="C8" t="n">
        <v>1600</v>
      </c>
    </row>
    <row r="9">
      <c r="A9" t="inlineStr">
        <is>
          <t>Grocery</t>
        </is>
      </c>
      <c r="B9" t="inlineStr">
        <is>
          <t>Hina</t>
        </is>
      </c>
      <c r="C9" t="n">
        <v>2700</v>
      </c>
    </row>
    <row r="10">
      <c r="A10" t="inlineStr">
        <is>
          <t>Grocery</t>
        </is>
      </c>
      <c r="B10" t="inlineStr">
        <is>
          <t>Ishan</t>
        </is>
      </c>
      <c r="C10" t="n">
        <v>1375</v>
      </c>
    </row>
    <row r="11">
      <c r="A11" t="inlineStr">
        <is>
          <t>Grocery</t>
        </is>
      </c>
      <c r="B11" t="inlineStr">
        <is>
          <t>Jiya</t>
        </is>
      </c>
      <c r="C11" t="n">
        <v>1750</v>
      </c>
    </row>
    <row r="12">
      <c r="A12" t="inlineStr">
        <is>
          <t>Grand Total</t>
        </is>
      </c>
      <c r="B12" t="inlineStr"/>
      <c r="C12" t="n">
        <v>341707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Product</t>
        </is>
      </c>
      <c r="B1" s="10" t="inlineStr">
        <is>
          <t>Electronics</t>
        </is>
      </c>
      <c r="C1" s="10" t="inlineStr">
        <is>
          <t>Fashion</t>
        </is>
      </c>
      <c r="D1" s="10" t="inlineStr">
        <is>
          <t>Grocery</t>
        </is>
      </c>
    </row>
    <row r="2">
      <c r="A2" t="inlineStr">
        <is>
          <t>Backpack</t>
        </is>
      </c>
      <c r="B2" t="n">
        <v>0</v>
      </c>
      <c r="C2" t="n">
        <v>4</v>
      </c>
      <c r="D2" t="n">
        <v>0</v>
      </c>
    </row>
    <row r="3">
      <c r="A3" t="inlineStr">
        <is>
          <t>Charger</t>
        </is>
      </c>
      <c r="B3" t="n">
        <v>12</v>
      </c>
      <c r="C3" t="n">
        <v>0</v>
      </c>
      <c r="D3" t="n">
        <v>0</v>
      </c>
    </row>
    <row r="4">
      <c r="A4" t="inlineStr">
        <is>
          <t>Headphones</t>
        </is>
      </c>
      <c r="B4" t="n">
        <v>10</v>
      </c>
      <c r="C4" t="n">
        <v>0</v>
      </c>
      <c r="D4" t="n">
        <v>0</v>
      </c>
    </row>
    <row r="5">
      <c r="A5" t="inlineStr">
        <is>
          <t>Laptop</t>
        </is>
      </c>
      <c r="B5" t="n">
        <v>2</v>
      </c>
      <c r="C5" t="n">
        <v>0</v>
      </c>
      <c r="D5" t="n">
        <v>0</v>
      </c>
    </row>
    <row r="6">
      <c r="A6" t="inlineStr">
        <is>
          <t>Mouse</t>
        </is>
      </c>
      <c r="B6" t="n">
        <v>8</v>
      </c>
      <c r="C6" t="n">
        <v>0</v>
      </c>
      <c r="D6" t="n">
        <v>0</v>
      </c>
    </row>
    <row r="7">
      <c r="A7" t="inlineStr">
        <is>
          <t>Oil (litre)</t>
        </is>
      </c>
      <c r="B7" t="n">
        <v>0</v>
      </c>
      <c r="C7" t="n">
        <v>0</v>
      </c>
      <c r="D7" t="n">
        <v>15</v>
      </c>
    </row>
    <row r="8">
      <c r="A8" t="inlineStr">
        <is>
          <t>Rice (kg)</t>
        </is>
      </c>
      <c r="B8" t="n">
        <v>0</v>
      </c>
      <c r="C8" t="n">
        <v>0</v>
      </c>
      <c r="D8" t="n">
        <v>20</v>
      </c>
    </row>
    <row r="9">
      <c r="A9" t="inlineStr">
        <is>
          <t>Saree</t>
        </is>
      </c>
      <c r="B9" t="n">
        <v>0</v>
      </c>
      <c r="C9" t="n">
        <v>5</v>
      </c>
      <c r="D9" t="n">
        <v>0</v>
      </c>
    </row>
    <row r="10">
      <c r="A10" t="inlineStr">
        <is>
          <t>Shoes</t>
        </is>
      </c>
      <c r="B10" t="n">
        <v>0</v>
      </c>
      <c r="C10" t="n">
        <v>3</v>
      </c>
      <c r="D10" t="n">
        <v>0</v>
      </c>
    </row>
    <row r="11">
      <c r="A11" t="inlineStr">
        <is>
          <t>Smartphone</t>
        </is>
      </c>
      <c r="B11" t="n">
        <v>4</v>
      </c>
      <c r="C11" t="n">
        <v>0</v>
      </c>
      <c r="D11" t="n">
        <v>0</v>
      </c>
    </row>
    <row r="12">
      <c r="A12" t="inlineStr">
        <is>
          <t>Sugar (kg)</t>
        </is>
      </c>
      <c r="B12" t="n">
        <v>0</v>
      </c>
      <c r="C12" t="n">
        <v>0</v>
      </c>
      <c r="D12" t="n">
        <v>25</v>
      </c>
    </row>
    <row r="13">
      <c r="A13" t="inlineStr">
        <is>
          <t>T-shirt</t>
        </is>
      </c>
      <c r="B13" t="n">
        <v>0</v>
      </c>
      <c r="C13" t="n">
        <v>10</v>
      </c>
      <c r="D13" t="n">
        <v>0</v>
      </c>
    </row>
    <row r="14">
      <c r="A14" t="inlineStr">
        <is>
          <t>Tablet</t>
        </is>
      </c>
      <c r="B14" t="n">
        <v>1</v>
      </c>
      <c r="C14" t="n">
        <v>0</v>
      </c>
      <c r="D14" t="n">
        <v>0</v>
      </c>
    </row>
    <row r="15">
      <c r="A15" t="inlineStr">
        <is>
          <t>Tea (gm)</t>
        </is>
      </c>
      <c r="B15" t="n">
        <v>0</v>
      </c>
      <c r="C15" t="n">
        <v>0</v>
      </c>
      <c r="D15" t="n">
        <v>5</v>
      </c>
    </row>
    <row r="16">
      <c r="A16" t="inlineStr">
        <is>
          <t>Watch</t>
        </is>
      </c>
      <c r="B16" t="n">
        <v>0</v>
      </c>
      <c r="C16" t="n">
        <v>2</v>
      </c>
      <c r="D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2026-09-08T14:05:40Z</dcterms:created>
  <dcterms:modified xmlns:dcterms="http://purl.org/dc/terms/" xmlns:xsi="http://www.w3.org/2001/XMLSchema-instance" xsi:type="dcterms:W3CDTF">2026-09-08T14:05:40Z</dcterms:modified>
</cp:coreProperties>
</file>